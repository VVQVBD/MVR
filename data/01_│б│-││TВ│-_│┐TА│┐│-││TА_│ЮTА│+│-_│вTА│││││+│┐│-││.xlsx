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Свод по смете" sheetId="2" state="visible" r:id="rId2"/>
    <sheet xmlns:r="http://schemas.openxmlformats.org/officeDocument/2006/relationships" name="БДР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A2C037"/>
        <bgColor rgb="FF969696"/>
      </patternFill>
    </fill>
    <fill>
      <patternFill patternType="solid">
        <fgColor rgb="FFEEF3D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8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8" fillId="3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24" min="1" max="1"/>
    <col width="46" customWidth="1" style="24" min="2" max="2"/>
    <col width="12" customWidth="1" style="24" min="3" max="3"/>
    <col width="16" customWidth="1" style="24" min="4" max="5"/>
    <col width="18" customWidth="1" style="24" min="6" max="6"/>
    <col width="16" customWidth="1" style="24" min="7" max="7"/>
    <col width="18" customWidth="1" style="24" min="8" max="8"/>
    <col width="24" customWidth="1" style="24" min="9" max="9"/>
  </cols>
  <sheetData>
    <row r="1" ht="15" customHeight="1" s="25">
      <c r="B1" s="26" t="inlineStr">
        <is>
          <t>Смета потенциального объекта</t>
        </is>
      </c>
    </row>
    <row r="2" ht="15" customHeight="1" s="25">
      <c r="B2" s="27" t="inlineStr">
        <is>
          <t>Синие значения — вводные, их можно менять. Чёрные — формулы.</t>
        </is>
      </c>
    </row>
    <row r="3"/>
    <row r="4" ht="15" customHeight="1" s="25">
      <c r="B4" s="28" t="inlineStr">
        <is>
          <t>Организация (наша)</t>
        </is>
      </c>
      <c r="C4" s="29" t="inlineStr">
        <is>
          <t>ТОО «IC Line»</t>
        </is>
      </c>
    </row>
    <row r="5" ht="15" customHeight="1" s="25">
      <c r="B5" s="28" t="inlineStr">
        <is>
          <t>Наименование объекта (клиент)</t>
        </is>
      </c>
      <c r="C5" s="29" t="inlineStr">
        <is>
          <t>ТОО «Орда Трейдинг»</t>
        </is>
      </c>
    </row>
    <row r="6" ht="15" customHeight="1" s="25">
      <c r="B6" s="28" t="inlineStr">
        <is>
          <t>Адрес объекта</t>
        </is>
      </c>
      <c r="C6" s="29" t="inlineStr">
        <is>
          <t>г. Алматы, ул. Кабанбай батыра, д. 147</t>
        </is>
      </c>
    </row>
    <row r="7" ht="15" customHeight="1" s="25">
      <c r="B7" s="28" t="inlineStr">
        <is>
          <t>Деятельность клиента</t>
        </is>
      </c>
      <c r="C7" s="29" t="inlineStr">
        <is>
          <t>торговая компания</t>
        </is>
      </c>
    </row>
    <row r="8" ht="15" customHeight="1" s="25">
      <c r="B8" s="28" t="inlineStr">
        <is>
          <t>Тип проекта</t>
        </is>
      </c>
      <c r="C8" s="29" t="inlineStr">
        <is>
          <t>отдельно стоящее здание</t>
        </is>
      </c>
    </row>
    <row r="9" ht="15" customHeight="1" s="25">
      <c r="B9" s="28" t="inlineStr">
        <is>
          <t>Кол-во объектов</t>
        </is>
      </c>
      <c r="C9" s="30" t="n">
        <v>1</v>
      </c>
    </row>
    <row r="10" ht="15" customHeight="1" s="25">
      <c r="B10" s="28" t="inlineStr">
        <is>
          <t>Количество этажей</t>
        </is>
      </c>
      <c r="C10" s="30" t="n">
        <v>5</v>
      </c>
    </row>
    <row r="11" ht="15" customHeight="1" s="25">
      <c r="B11" s="28" t="inlineStr">
        <is>
          <t>Количество входных групп</t>
        </is>
      </c>
      <c r="C11" s="30" t="n">
        <v>1</v>
      </c>
    </row>
    <row r="12" ht="15" customHeight="1" s="25">
      <c r="B12" s="28" t="inlineStr">
        <is>
          <t>График работы объекта</t>
        </is>
      </c>
      <c r="C12" s="29" t="inlineStr">
        <is>
          <t>5/2 09:00–18:00</t>
        </is>
      </c>
    </row>
    <row r="13" ht="15" customHeight="1" s="25">
      <c r="B13" s="28" t="inlineStr">
        <is>
          <t>Тип уборки</t>
        </is>
      </c>
      <c r="C13" s="29" t="inlineStr">
        <is>
          <t>базовая + поддерживающая</t>
        </is>
      </c>
    </row>
    <row r="14" ht="15" customHeight="1" s="25">
      <c r="B14" s="28" t="inlineStr">
        <is>
          <t>Площадь внутренних помещений, м²</t>
        </is>
      </c>
      <c r="C14" s="30" t="n">
        <v>1150</v>
      </c>
    </row>
    <row r="15" ht="15" customHeight="1" s="25">
      <c r="B15" s="28" t="inlineStr">
        <is>
          <t>Площадь прилегающей территории, м²</t>
        </is>
      </c>
      <c r="C15" s="29" t="inlineStr">
        <is>
          <t>нет</t>
        </is>
      </c>
    </row>
    <row r="16" ht="15" customHeight="1" s="25">
      <c r="B16" s="28" t="inlineStr">
        <is>
          <t>Паркинг</t>
        </is>
      </c>
      <c r="C16" s="29" t="inlineStr">
        <is>
          <t>нет</t>
        </is>
      </c>
    </row>
    <row r="17" ht="15" customHeight="1" s="25">
      <c r="B17" s="28" t="inlineStr">
        <is>
          <t>Количество санузлов</t>
        </is>
      </c>
      <c r="C17" s="30" t="n">
        <v>4</v>
      </c>
    </row>
    <row r="18" ht="15" customHeight="1" s="25">
      <c r="B18" s="28" t="inlineStr">
        <is>
          <t>Действующая клининговая компания</t>
        </is>
      </c>
      <c r="C18" s="29" t="inlineStr">
        <is>
          <t>ТОО «Блеск Сервис»</t>
        </is>
      </c>
    </row>
    <row r="19" ht="15" customHeight="1" s="25">
      <c r="B19" s="28" t="inlineStr">
        <is>
          <t>Действующая расстановка ОПУ</t>
        </is>
      </c>
      <c r="C19" s="29" t="inlineStr">
        <is>
          <t>база 6 чел., поддержка 2 чел.</t>
        </is>
      </c>
    </row>
    <row r="20" ht="15" customHeight="1" s="25">
      <c r="B20" s="28" t="inlineStr">
        <is>
          <t>Вид закупки</t>
        </is>
      </c>
      <c r="C20" s="29" t="inlineStr">
        <is>
          <t>тендер</t>
        </is>
      </c>
    </row>
    <row r="21" ht="15" customHeight="1" s="25">
      <c r="B21" s="28" t="inlineStr">
        <is>
          <t>Бюджет клиента в год, тг с НДС</t>
        </is>
      </c>
      <c r="C21" s="30" t="n">
        <v>37200000</v>
      </c>
    </row>
    <row r="22" ht="15" customHeight="1" s="25">
      <c r="B22" s="28" t="inlineStr">
        <is>
          <t>Бюджет клиента в месяц, тг с НДС</t>
        </is>
      </c>
      <c r="C22" s="31">
        <f>C21/12</f>
        <v/>
      </c>
    </row>
    <row r="23" ht="15" customHeight="1" s="25">
      <c r="B23" s="28" t="inlineStr">
        <is>
          <t>Смету составил</t>
        </is>
      </c>
      <c r="C23" s="29" t="inlineStr">
        <is>
          <t>Менеджер по продажам Сериков Д.</t>
        </is>
      </c>
    </row>
    <row r="24" ht="15" customHeight="1" s="25">
      <c r="B24" s="28" t="inlineStr">
        <is>
          <t>Дата</t>
        </is>
      </c>
      <c r="C24" s="29" t="inlineStr">
        <is>
          <t>05.10.2026</t>
        </is>
      </c>
    </row>
    <row r="25"/>
    <row r="26" ht="15" customHeight="1" s="25">
      <c r="A26" s="32" t="inlineStr">
        <is>
          <t>ФОТ операторов (самозанятые)</t>
        </is>
      </c>
    </row>
    <row r="27" ht="23.85" customHeight="1" s="25">
      <c r="A27" s="33" t="inlineStr">
        <is>
          <t>№</t>
        </is>
      </c>
      <c r="B27" s="33" t="inlineStr">
        <is>
          <t>Должность</t>
        </is>
      </c>
      <c r="C27" s="33" t="inlineStr">
        <is>
          <t>Кол-во, чел.</t>
        </is>
      </c>
      <c r="D27" s="33" t="inlineStr">
        <is>
          <t>Ставка в месяц, тг</t>
        </is>
      </c>
      <c r="E27" s="33" t="inlineStr">
        <is>
          <t>Сумма в месяц, тг</t>
        </is>
      </c>
      <c r="F27" s="33" t="inlineStr">
        <is>
          <t>График работы</t>
        </is>
      </c>
      <c r="G27" s="33" t="n"/>
      <c r="H27" s="33" t="n"/>
      <c r="I27" s="33" t="inlineStr">
        <is>
          <t>Примечание</t>
        </is>
      </c>
    </row>
    <row r="28" ht="15" customHeight="1" s="25">
      <c r="A28" s="34" t="n">
        <v>1</v>
      </c>
      <c r="B28" s="34" t="inlineStr">
        <is>
          <t>ОПУ дневная базовая уборка</t>
        </is>
      </c>
      <c r="C28" s="35" t="n">
        <v>6</v>
      </c>
      <c r="D28" s="36" t="n">
        <v>118000</v>
      </c>
      <c r="E28" s="37">
        <f>C28*D28</f>
        <v/>
      </c>
      <c r="F28" s="37" t="inlineStr">
        <is>
          <t>5/2 07:00–11:00</t>
        </is>
      </c>
      <c r="G28" s="34" t="n"/>
      <c r="H28" s="37" t="n"/>
      <c r="I28" s="34" t="n"/>
    </row>
    <row r="29" ht="15" customHeight="1" s="25">
      <c r="A29" s="34" t="n">
        <v>2</v>
      </c>
      <c r="B29" s="34" t="inlineStr">
        <is>
          <t>ОПУ поддержка (санузлы, холл, кухни)</t>
        </is>
      </c>
      <c r="C29" s="35" t="n">
        <v>1</v>
      </c>
      <c r="D29" s="36" t="n">
        <v>192000</v>
      </c>
      <c r="E29" s="37">
        <f>C29*D29</f>
        <v/>
      </c>
      <c r="F29" s="37" t="inlineStr">
        <is>
          <t>5/2 09:00–18:00</t>
        </is>
      </c>
      <c r="G29" s="34" t="n"/>
      <c r="H29" s="37" t="n"/>
      <c r="I29" s="34" t="n"/>
    </row>
    <row r="30" ht="15" customHeight="1" s="25">
      <c r="A30" s="34" t="n">
        <v>3</v>
      </c>
      <c r="B30" s="34" t="inlineStr">
        <is>
          <t>ОПУ поддержка вечер</t>
        </is>
      </c>
      <c r="C30" s="35" t="n">
        <v>1</v>
      </c>
      <c r="D30" s="36" t="n">
        <v>98000</v>
      </c>
      <c r="E30" s="37">
        <f>C30*D30</f>
        <v/>
      </c>
      <c r="F30" s="37" t="inlineStr">
        <is>
          <t>5/2 14:00–18:00</t>
        </is>
      </c>
      <c r="G30" s="34" t="n"/>
      <c r="H30" s="37" t="n"/>
      <c r="I30" s="34" t="n"/>
    </row>
    <row r="31" ht="15" customHeight="1" s="25">
      <c r="A31" s="34" t="n">
        <v>4</v>
      </c>
      <c r="B31" s="34" t="inlineStr">
        <is>
          <t>Генеральная уборка (6 ОПУ × 16 000 тг, раз в квартал → в месяц)</t>
        </is>
      </c>
      <c r="C31" s="35" t="n">
        <v>6</v>
      </c>
      <c r="D31" s="36">
        <f>16000*4/12</f>
        <v/>
      </c>
      <c r="E31" s="37">
        <f>C31*D31</f>
        <v/>
      </c>
      <c r="F31" s="37" t="inlineStr">
        <is>
          <t>1 раз в квартал, суббота</t>
        </is>
      </c>
      <c r="G31" s="34" t="n"/>
      <c r="H31" s="37" t="n"/>
      <c r="I31" s="34" t="n"/>
    </row>
    <row r="32" ht="15" customHeight="1" s="25">
      <c r="A32" s="34" t="n">
        <v>5</v>
      </c>
      <c r="B32" s="34" t="inlineStr">
        <is>
          <t>Расходы Платформы Занятости (6% сверху, gross-up)</t>
        </is>
      </c>
      <c r="C32" s="34" t="n"/>
      <c r="D32" s="34" t="n"/>
      <c r="E32" s="37">
        <f>SUM(E28:E31)*6%/(1-6%)</f>
        <v/>
      </c>
      <c r="F32" s="34" t="n"/>
      <c r="G32" s="34" t="n"/>
      <c r="H32" s="34" t="n"/>
      <c r="I32" s="34" t="n"/>
    </row>
    <row r="33" ht="15" customHeight="1" s="25">
      <c r="A33" s="38" t="inlineStr">
        <is>
          <t>ИТОГО</t>
        </is>
      </c>
      <c r="B33" s="39" t="n"/>
      <c r="C33" s="39" t="n"/>
      <c r="D33" s="40" t="n"/>
      <c r="E33" s="41">
        <f>SUM(E28:E32)</f>
        <v/>
      </c>
      <c r="F33" s="40" t="n"/>
      <c r="G33" s="39" t="n"/>
      <c r="H33" s="40" t="n"/>
      <c r="I33" s="39" t="n"/>
    </row>
    <row r="34"/>
    <row r="35" ht="15" customHeight="1" s="25">
      <c r="A35" s="32" t="inlineStr">
        <is>
          <t>Моющие средства и расходные материалы для уборки</t>
        </is>
      </c>
    </row>
    <row r="36" ht="23.85" customHeight="1" s="25">
      <c r="A36" s="33" t="inlineStr">
        <is>
          <t>№</t>
        </is>
      </c>
      <c r="B36" s="33" t="inlineStr">
        <is>
          <t>Наименование</t>
        </is>
      </c>
      <c r="C36" s="33" t="inlineStr">
        <is>
          <t>Ед. изм.</t>
        </is>
      </c>
      <c r="D36" s="33" t="inlineStr">
        <is>
          <t>Кол-во за период</t>
        </is>
      </c>
      <c r="E36" s="33" t="inlineStr">
        <is>
          <t>Цена без НДС, тг</t>
        </is>
      </c>
      <c r="F36" s="33" t="inlineStr">
        <is>
          <t>Цена с НДС, тг</t>
        </is>
      </c>
      <c r="G36" s="33" t="inlineStr">
        <is>
          <t>Период, мес.</t>
        </is>
      </c>
      <c r="H36" s="33" t="inlineStr">
        <is>
          <t>В месяц без НДС, тг</t>
        </is>
      </c>
      <c r="I36" s="33" t="inlineStr">
        <is>
          <t>Примечание</t>
        </is>
      </c>
    </row>
    <row r="37" ht="15" customHeight="1" s="25">
      <c r="A37" s="34" t="n">
        <v>1</v>
      </c>
      <c r="B37" s="34" t="inlineStr">
        <is>
          <t>Средство для стёкол и зеркал</t>
        </is>
      </c>
      <c r="C37" s="34" t="inlineStr">
        <is>
          <t>л</t>
        </is>
      </c>
      <c r="D37" s="36" t="n">
        <v>6</v>
      </c>
      <c r="E37" s="37">
        <f>F37/1.16</f>
        <v/>
      </c>
      <c r="F37" s="36" t="n">
        <v>690</v>
      </c>
      <c r="G37" s="35" t="n">
        <v>1</v>
      </c>
      <c r="H37" s="37">
        <f>D37*E37/G37</f>
        <v/>
      </c>
      <c r="I37" s="34" t="n"/>
    </row>
    <row r="38" ht="15" customHeight="1" s="25">
      <c r="A38" s="34" t="n">
        <v>2</v>
      </c>
      <c r="B38" s="34" t="inlineStr">
        <is>
          <t>Универсальное средство для пола</t>
        </is>
      </c>
      <c r="C38" s="34" t="inlineStr">
        <is>
          <t>л</t>
        </is>
      </c>
      <c r="D38" s="36" t="n">
        <v>14</v>
      </c>
      <c r="E38" s="37">
        <f>F38/1.16</f>
        <v/>
      </c>
      <c r="F38" s="36" t="n">
        <v>870</v>
      </c>
      <c r="G38" s="35" t="n">
        <v>1</v>
      </c>
      <c r="H38" s="37">
        <f>D38*E38/G38</f>
        <v/>
      </c>
      <c r="I38" s="34" t="n"/>
    </row>
    <row r="39" ht="15" customHeight="1" s="25">
      <c r="A39" s="34" t="n">
        <v>3</v>
      </c>
      <c r="B39" s="34" t="inlineStr">
        <is>
          <t>Средство для сантехники, гель</t>
        </is>
      </c>
      <c r="C39" s="34" t="inlineStr">
        <is>
          <t>шт</t>
        </is>
      </c>
      <c r="D39" s="36" t="n">
        <v>10</v>
      </c>
      <c r="E39" s="37">
        <f>F39/1.16</f>
        <v/>
      </c>
      <c r="F39" s="36" t="n">
        <v>1250</v>
      </c>
      <c r="G39" s="35" t="n">
        <v>1</v>
      </c>
      <c r="H39" s="37">
        <f>D39*E39/G39</f>
        <v/>
      </c>
      <c r="I39" s="34" t="n"/>
    </row>
    <row r="40" ht="15" customHeight="1" s="25">
      <c r="A40" s="34" t="n">
        <v>4</v>
      </c>
      <c r="B40" s="34" t="inlineStr">
        <is>
          <t>Дезинфицирующие таблетки (300 шт.)</t>
        </is>
      </c>
      <c r="C40" s="34" t="inlineStr">
        <is>
          <t>банка</t>
        </is>
      </c>
      <c r="D40" s="36" t="n">
        <v>1</v>
      </c>
      <c r="E40" s="37">
        <f>F40/1.16</f>
        <v/>
      </c>
      <c r="F40" s="36" t="n">
        <v>2950</v>
      </c>
      <c r="G40" s="35" t="n">
        <v>1</v>
      </c>
      <c r="H40" s="37">
        <f>D40*E40/G40</f>
        <v/>
      </c>
      <c r="I40" s="34" t="n"/>
    </row>
    <row r="41" ht="15" customHeight="1" s="25">
      <c r="A41" s="34" t="n">
        <v>5</v>
      </c>
      <c r="B41" s="34" t="inlineStr">
        <is>
          <t>Полироль для мебели, аэрозоль</t>
        </is>
      </c>
      <c r="C41" s="34" t="inlineStr">
        <is>
          <t>шт</t>
        </is>
      </c>
      <c r="D41" s="36" t="n">
        <v>4</v>
      </c>
      <c r="E41" s="37">
        <f>F41/1.16</f>
        <v/>
      </c>
      <c r="F41" s="36" t="n">
        <v>2250</v>
      </c>
      <c r="G41" s="35" t="n">
        <v>1</v>
      </c>
      <c r="H41" s="37">
        <f>D41*E41/G41</f>
        <v/>
      </c>
      <c r="I41" s="34" t="n"/>
    </row>
    <row r="42" ht="15" customHeight="1" s="25">
      <c r="A42" s="34" t="n">
        <v>6</v>
      </c>
      <c r="B42" s="34" t="inlineStr">
        <is>
          <t>Чистящий крем</t>
        </is>
      </c>
      <c r="C42" s="34" t="inlineStr">
        <is>
          <t>шт</t>
        </is>
      </c>
      <c r="D42" s="36" t="n">
        <v>6</v>
      </c>
      <c r="E42" s="37">
        <f>F42/1.16</f>
        <v/>
      </c>
      <c r="F42" s="36" t="n">
        <v>720</v>
      </c>
      <c r="G42" s="35" t="n">
        <v>1</v>
      </c>
      <c r="H42" s="37">
        <f>D42*E42/G42</f>
        <v/>
      </c>
      <c r="I42" s="34" t="n"/>
    </row>
    <row r="43" ht="15" customHeight="1" s="25">
      <c r="A43" s="34" t="n">
        <v>7</v>
      </c>
      <c r="B43" s="34" t="inlineStr">
        <is>
          <t>Пакеты для мусора 120 л</t>
        </is>
      </c>
      <c r="C43" s="34" t="inlineStr">
        <is>
          <t>шт</t>
        </is>
      </c>
      <c r="D43" s="36" t="n">
        <v>220</v>
      </c>
      <c r="E43" s="37">
        <f>F43/1.16</f>
        <v/>
      </c>
      <c r="F43" s="36" t="n">
        <v>42</v>
      </c>
      <c r="G43" s="35" t="n">
        <v>1</v>
      </c>
      <c r="H43" s="37">
        <f>D43*E43/G43</f>
        <v/>
      </c>
      <c r="I43" s="34" t="n"/>
    </row>
    <row r="44" ht="15" customHeight="1" s="25">
      <c r="A44" s="34" t="n">
        <v>8</v>
      </c>
      <c r="B44" s="34" t="inlineStr">
        <is>
          <t>Пакеты для мусора 30 л</t>
        </is>
      </c>
      <c r="C44" s="34" t="inlineStr">
        <is>
          <t>шт</t>
        </is>
      </c>
      <c r="D44" s="36" t="n">
        <v>400</v>
      </c>
      <c r="E44" s="37">
        <f>F44/1.16</f>
        <v/>
      </c>
      <c r="F44" s="36" t="n">
        <v>11</v>
      </c>
      <c r="G44" s="35" t="n">
        <v>1</v>
      </c>
      <c r="H44" s="37">
        <f>D44*E44/G44</f>
        <v/>
      </c>
      <c r="I44" s="34" t="n"/>
    </row>
    <row r="45" ht="15" customHeight="1" s="25">
      <c r="A45" s="34" t="n">
        <v>9</v>
      </c>
      <c r="B45" s="34" t="inlineStr">
        <is>
          <t>Мопы хлопковые 40 см</t>
        </is>
      </c>
      <c r="C45" s="34" t="inlineStr">
        <is>
          <t>шт</t>
        </is>
      </c>
      <c r="D45" s="36" t="n">
        <v>8</v>
      </c>
      <c r="E45" s="37">
        <f>F45/1.16</f>
        <v/>
      </c>
      <c r="F45" s="36" t="n">
        <v>1450</v>
      </c>
      <c r="G45" s="35" t="n">
        <v>1</v>
      </c>
      <c r="H45" s="37">
        <f>D45*E45/G45</f>
        <v/>
      </c>
      <c r="I45" s="34" t="n"/>
    </row>
    <row r="46" ht="15" customHeight="1" s="25">
      <c r="A46" s="34" t="n">
        <v>10</v>
      </c>
      <c r="B46" s="34" t="inlineStr">
        <is>
          <t>Салфетки из микрофибры</t>
        </is>
      </c>
      <c r="C46" s="34" t="inlineStr">
        <is>
          <t>шт</t>
        </is>
      </c>
      <c r="D46" s="36" t="n">
        <v>24</v>
      </c>
      <c r="E46" s="37">
        <f>F46/1.16</f>
        <v/>
      </c>
      <c r="F46" s="36" t="n">
        <v>380</v>
      </c>
      <c r="G46" s="35" t="n">
        <v>1</v>
      </c>
      <c r="H46" s="37">
        <f>D46*E46/G46</f>
        <v/>
      </c>
      <c r="I46" s="34" t="n"/>
    </row>
    <row r="47" ht="15" customHeight="1" s="25">
      <c r="A47" s="34" t="n">
        <v>11</v>
      </c>
      <c r="B47" s="34" t="inlineStr">
        <is>
          <t>Перчатки нитриловые (100 шт.)</t>
        </is>
      </c>
      <c r="C47" s="34" t="inlineStr">
        <is>
          <t>уп</t>
        </is>
      </c>
      <c r="D47" s="36" t="n">
        <v>3</v>
      </c>
      <c r="E47" s="37">
        <f>F47/1.16</f>
        <v/>
      </c>
      <c r="F47" s="36" t="n">
        <v>2900</v>
      </c>
      <c r="G47" s="35" t="n">
        <v>1</v>
      </c>
      <c r="H47" s="37">
        <f>D47*E47/G47</f>
        <v/>
      </c>
      <c r="I47" s="34" t="n"/>
    </row>
    <row r="48" ht="15" customHeight="1" s="25">
      <c r="A48" s="38" t="inlineStr">
        <is>
          <t>ИТОГО</t>
        </is>
      </c>
      <c r="B48" s="39" t="n"/>
      <c r="C48" s="39" t="n"/>
      <c r="D48" s="40" t="n"/>
      <c r="E48" s="40" t="n"/>
      <c r="F48" s="40" t="n"/>
      <c r="G48" s="39" t="n"/>
      <c r="H48" s="41">
        <f>SUM(H37:H47)</f>
        <v/>
      </c>
      <c r="I48" s="39" t="n"/>
    </row>
    <row r="49"/>
    <row r="50" ht="15" customHeight="1" s="25">
      <c r="A50" s="32" t="inlineStr">
        <is>
          <t>Расходные материалы личной гигиены (по ТЗ клиента)</t>
        </is>
      </c>
    </row>
    <row r="51" ht="23.85" customHeight="1" s="25">
      <c r="A51" s="33" t="inlineStr">
        <is>
          <t>№</t>
        </is>
      </c>
      <c r="B51" s="33" t="inlineStr">
        <is>
          <t>Наименование</t>
        </is>
      </c>
      <c r="C51" s="33" t="inlineStr">
        <is>
          <t>Ед. изм.</t>
        </is>
      </c>
      <c r="D51" s="33" t="inlineStr">
        <is>
          <t>Кол-во за период</t>
        </is>
      </c>
      <c r="E51" s="33" t="inlineStr">
        <is>
          <t>Цена без НДС, тг</t>
        </is>
      </c>
      <c r="F51" s="33" t="inlineStr">
        <is>
          <t>Цена с НДС, тг</t>
        </is>
      </c>
      <c r="G51" s="33" t="inlineStr">
        <is>
          <t>Период, мес.</t>
        </is>
      </c>
      <c r="H51" s="33" t="inlineStr">
        <is>
          <t>В месяц без НДС, тг</t>
        </is>
      </c>
      <c r="I51" s="33" t="inlineStr">
        <is>
          <t>Примечание</t>
        </is>
      </c>
    </row>
    <row r="52" ht="15" customHeight="1" s="25">
      <c r="A52" s="34" t="n">
        <v>1</v>
      </c>
      <c r="B52" s="34" t="inlineStr">
        <is>
          <t>Туалетная бумага, 200 м</t>
        </is>
      </c>
      <c r="C52" s="34" t="inlineStr">
        <is>
          <t>рулон</t>
        </is>
      </c>
      <c r="D52" s="36" t="n">
        <v>280</v>
      </c>
      <c r="E52" s="37">
        <f>F52/1.16</f>
        <v/>
      </c>
      <c r="F52" s="36" t="n">
        <v>720</v>
      </c>
      <c r="G52" s="35" t="n">
        <v>1</v>
      </c>
      <c r="H52" s="37">
        <f>D52*E52/G52</f>
        <v/>
      </c>
      <c r="I52" s="34" t="n"/>
    </row>
    <row r="53" ht="15" customHeight="1" s="25">
      <c r="A53" s="34" t="n">
        <v>2</v>
      </c>
      <c r="B53" s="34" t="inlineStr">
        <is>
          <t>Полотенца бумажные Z-сложения</t>
        </is>
      </c>
      <c r="C53" s="34" t="inlineStr">
        <is>
          <t>пачка</t>
        </is>
      </c>
      <c r="D53" s="36" t="n">
        <v>260</v>
      </c>
      <c r="E53" s="37">
        <f>F53/1.16</f>
        <v/>
      </c>
      <c r="F53" s="36" t="n">
        <v>540</v>
      </c>
      <c r="G53" s="35" t="n">
        <v>1</v>
      </c>
      <c r="H53" s="37">
        <f>D53*E53/G53</f>
        <v/>
      </c>
      <c r="I53" s="34" t="n"/>
    </row>
    <row r="54" ht="15" customHeight="1" s="25">
      <c r="A54" s="34" t="n">
        <v>3</v>
      </c>
      <c r="B54" s="34" t="inlineStr">
        <is>
          <t>Жидкое мыло</t>
        </is>
      </c>
      <c r="C54" s="34" t="inlineStr">
        <is>
          <t>л</t>
        </is>
      </c>
      <c r="D54" s="36" t="n">
        <v>30</v>
      </c>
      <c r="E54" s="37">
        <f>F54/1.16</f>
        <v/>
      </c>
      <c r="F54" s="36" t="n">
        <v>1020</v>
      </c>
      <c r="G54" s="35" t="n">
        <v>1</v>
      </c>
      <c r="H54" s="37">
        <f>D54*E54/G54</f>
        <v/>
      </c>
      <c r="I54" s="34" t="n"/>
    </row>
    <row r="55" ht="15" customHeight="1" s="25">
      <c r="A55" s="38" t="inlineStr">
        <is>
          <t>ИТОГО</t>
        </is>
      </c>
      <c r="B55" s="39" t="n"/>
      <c r="C55" s="39" t="n"/>
      <c r="D55" s="40" t="n"/>
      <c r="E55" s="40" t="n"/>
      <c r="F55" s="40" t="n"/>
      <c r="G55" s="39" t="n"/>
      <c r="H55" s="41">
        <f>SUM(H52:H54)</f>
        <v/>
      </c>
      <c r="I55" s="39" t="n"/>
    </row>
    <row r="56"/>
    <row r="57" ht="15" customHeight="1" s="25">
      <c r="A57" s="32" t="inlineStr">
        <is>
          <t>Инвентарь (стоимость распределяется на срок службы)</t>
        </is>
      </c>
    </row>
    <row r="58" ht="23.85" customHeight="1" s="25">
      <c r="A58" s="33" t="inlineStr">
        <is>
          <t>№</t>
        </is>
      </c>
      <c r="B58" s="33" t="inlineStr">
        <is>
          <t>Наименование</t>
        </is>
      </c>
      <c r="C58" s="33" t="inlineStr">
        <is>
          <t>Ед. изм.</t>
        </is>
      </c>
      <c r="D58" s="33" t="inlineStr">
        <is>
          <t>Кол-во за период</t>
        </is>
      </c>
      <c r="E58" s="33" t="inlineStr">
        <is>
          <t>Цена без НДС, тг</t>
        </is>
      </c>
      <c r="F58" s="33" t="inlineStr">
        <is>
          <t>Цена с НДС, тг</t>
        </is>
      </c>
      <c r="G58" s="33" t="inlineStr">
        <is>
          <t>Период, мес.</t>
        </is>
      </c>
      <c r="H58" s="33" t="inlineStr">
        <is>
          <t>В месяц без НДС, тг</t>
        </is>
      </c>
      <c r="I58" s="33" t="inlineStr">
        <is>
          <t>Примечание</t>
        </is>
      </c>
    </row>
    <row r="59" ht="15" customHeight="1" s="25">
      <c r="A59" s="34" t="n">
        <v>1</v>
      </c>
      <c r="B59" s="34" t="inlineStr">
        <is>
          <t>Тележка уборочная профессиональная</t>
        </is>
      </c>
      <c r="C59" s="34" t="inlineStr">
        <is>
          <t>шт</t>
        </is>
      </c>
      <c r="D59" s="36" t="n">
        <v>3</v>
      </c>
      <c r="E59" s="37">
        <f>F59/1.16</f>
        <v/>
      </c>
      <c r="F59" s="36" t="n">
        <v>52000</v>
      </c>
      <c r="G59" s="35" t="n">
        <v>24</v>
      </c>
      <c r="H59" s="37">
        <f>D59*E59/G59</f>
        <v/>
      </c>
      <c r="I59" s="34" t="n"/>
    </row>
    <row r="60" ht="15" customHeight="1" s="25">
      <c r="A60" s="34" t="n">
        <v>2</v>
      </c>
      <c r="B60" s="34" t="inlineStr">
        <is>
          <t>Швабра-стяжка 45 см</t>
        </is>
      </c>
      <c r="C60" s="34" t="inlineStr">
        <is>
          <t>шт</t>
        </is>
      </c>
      <c r="D60" s="36" t="n">
        <v>4</v>
      </c>
      <c r="E60" s="37">
        <f>F60/1.16</f>
        <v/>
      </c>
      <c r="F60" s="36" t="n">
        <v>4400</v>
      </c>
      <c r="G60" s="35" t="n">
        <v>12</v>
      </c>
      <c r="H60" s="37">
        <f>D60*E60/G60</f>
        <v/>
      </c>
      <c r="I60" s="34" t="n"/>
    </row>
    <row r="61" ht="15" customHeight="1" s="25">
      <c r="A61" s="34" t="n">
        <v>3</v>
      </c>
      <c r="B61" s="34" t="inlineStr">
        <is>
          <t>Держатель мопов, алюминиевая ручка</t>
        </is>
      </c>
      <c r="C61" s="34" t="inlineStr">
        <is>
          <t>шт</t>
        </is>
      </c>
      <c r="D61" s="36" t="n">
        <v>8</v>
      </c>
      <c r="E61" s="37">
        <f>F61/1.16</f>
        <v/>
      </c>
      <c r="F61" s="36" t="n">
        <v>2600</v>
      </c>
      <c r="G61" s="35" t="n">
        <v>12</v>
      </c>
      <c r="H61" s="37">
        <f>D61*E61/G61</f>
        <v/>
      </c>
      <c r="I61" s="34" t="n"/>
    </row>
    <row r="62" ht="15" customHeight="1" s="25">
      <c r="A62" s="34" t="n">
        <v>4</v>
      </c>
      <c r="B62" s="34" t="inlineStr">
        <is>
          <t>Ведро с отжимом</t>
        </is>
      </c>
      <c r="C62" s="34" t="inlineStr">
        <is>
          <t>шт</t>
        </is>
      </c>
      <c r="D62" s="36" t="n">
        <v>4</v>
      </c>
      <c r="E62" s="37">
        <f>F62/1.16</f>
        <v/>
      </c>
      <c r="F62" s="36" t="n">
        <v>6900</v>
      </c>
      <c r="G62" s="35" t="n">
        <v>12</v>
      </c>
      <c r="H62" s="37">
        <f>D62*E62/G62</f>
        <v/>
      </c>
      <c r="I62" s="34" t="n"/>
    </row>
    <row r="63" ht="15" customHeight="1" s="25">
      <c r="A63" s="34" t="n">
        <v>5</v>
      </c>
      <c r="B63" s="34" t="inlineStr">
        <is>
          <t>Телескопическая ручка 3 м</t>
        </is>
      </c>
      <c r="C63" s="34" t="inlineStr">
        <is>
          <t>шт</t>
        </is>
      </c>
      <c r="D63" s="36" t="n">
        <v>2</v>
      </c>
      <c r="E63" s="37">
        <f>F63/1.16</f>
        <v/>
      </c>
      <c r="F63" s="36" t="n">
        <v>4700</v>
      </c>
      <c r="G63" s="35" t="n">
        <v>36</v>
      </c>
      <c r="H63" s="37">
        <f>D63*E63/G63</f>
        <v/>
      </c>
      <c r="I63" s="34" t="n"/>
    </row>
    <row r="64" ht="15" customHeight="1" s="25">
      <c r="A64" s="38" t="inlineStr">
        <is>
          <t>ИТОГО</t>
        </is>
      </c>
      <c r="B64" s="39" t="n"/>
      <c r="C64" s="39" t="n"/>
      <c r="D64" s="40" t="n"/>
      <c r="E64" s="40" t="n"/>
      <c r="F64" s="40" t="n"/>
      <c r="G64" s="39" t="n"/>
      <c r="H64" s="41">
        <f>SUM(H59:H63)</f>
        <v/>
      </c>
      <c r="I64" s="39" t="n"/>
    </row>
    <row r="65"/>
    <row r="66" ht="15" customHeight="1" s="25">
      <c r="A66" s="32" t="inlineStr">
        <is>
          <t>Оборудование (амортизация 5 лет)</t>
        </is>
      </c>
    </row>
    <row r="67" ht="23.85" customHeight="1" s="25">
      <c r="A67" s="33" t="inlineStr">
        <is>
          <t>№</t>
        </is>
      </c>
      <c r="B67" s="33" t="inlineStr">
        <is>
          <t>Наименование</t>
        </is>
      </c>
      <c r="C67" s="33" t="inlineStr">
        <is>
          <t>Ед. изм.</t>
        </is>
      </c>
      <c r="D67" s="33" t="inlineStr">
        <is>
          <t>Кол-во за период</t>
        </is>
      </c>
      <c r="E67" s="33" t="inlineStr">
        <is>
          <t>Цена без НДС, тг</t>
        </is>
      </c>
      <c r="F67" s="33" t="inlineStr">
        <is>
          <t>Цена с НДС, тг</t>
        </is>
      </c>
      <c r="G67" s="33" t="inlineStr">
        <is>
          <t>Период, мес.</t>
        </is>
      </c>
      <c r="H67" s="33" t="inlineStr">
        <is>
          <t>В месяц без НДС, тг</t>
        </is>
      </c>
      <c r="I67" s="33" t="inlineStr">
        <is>
          <t>Примечание</t>
        </is>
      </c>
    </row>
    <row r="68" ht="15" customHeight="1" s="25">
      <c r="A68" s="34" t="n">
        <v>1</v>
      </c>
      <c r="B68" s="34" t="inlineStr">
        <is>
          <t>Пылеводосос</t>
        </is>
      </c>
      <c r="C68" s="34" t="inlineStr">
        <is>
          <t>шт</t>
        </is>
      </c>
      <c r="D68" s="36" t="n">
        <v>2</v>
      </c>
      <c r="E68" s="37">
        <f>F68/1.16</f>
        <v/>
      </c>
      <c r="F68" s="36" t="n">
        <v>89000</v>
      </c>
      <c r="G68" s="35" t="n">
        <v>60</v>
      </c>
      <c r="H68" s="37">
        <f>D68*E68/G68</f>
        <v/>
      </c>
      <c r="I68" s="34" t="n"/>
    </row>
    <row r="69" ht="15" customHeight="1" s="25">
      <c r="A69" s="34" t="n">
        <v>2</v>
      </c>
      <c r="B69" s="34" t="inlineStr">
        <is>
          <t>Поломоечная машина компактная</t>
        </is>
      </c>
      <c r="C69" s="34" t="inlineStr">
        <is>
          <t>шт</t>
        </is>
      </c>
      <c r="D69" s="36" t="n">
        <v>1</v>
      </c>
      <c r="E69" s="37">
        <f>F69/1.16</f>
        <v/>
      </c>
      <c r="F69" s="36" t="n">
        <v>640000</v>
      </c>
      <c r="G69" s="35" t="n">
        <v>60</v>
      </c>
      <c r="H69" s="37">
        <f>D69*E69/G69</f>
        <v/>
      </c>
      <c r="I69" s="34" t="n"/>
    </row>
    <row r="70" ht="15" customHeight="1" s="25">
      <c r="A70" s="38" t="inlineStr">
        <is>
          <t>ИТОГО</t>
        </is>
      </c>
      <c r="B70" s="39" t="n"/>
      <c r="C70" s="39" t="n"/>
      <c r="D70" s="40" t="n"/>
      <c r="E70" s="40" t="n"/>
      <c r="F70" s="40" t="n"/>
      <c r="G70" s="39" t="n"/>
      <c r="H70" s="41">
        <f>SUM(H68:H69)</f>
        <v/>
      </c>
      <c r="I70" s="39" t="n"/>
    </row>
    <row r="71"/>
    <row r="72" ht="15" customHeight="1" s="25">
      <c r="A72" s="32" t="inlineStr">
        <is>
          <t>Спецодежда</t>
        </is>
      </c>
    </row>
    <row r="73" ht="23.85" customHeight="1" s="25">
      <c r="A73" s="33" t="inlineStr">
        <is>
          <t>№</t>
        </is>
      </c>
      <c r="B73" s="33" t="inlineStr">
        <is>
          <t>Наименование</t>
        </is>
      </c>
      <c r="C73" s="33" t="inlineStr">
        <is>
          <t>Ед. изм.</t>
        </is>
      </c>
      <c r="D73" s="33" t="inlineStr">
        <is>
          <t>Кол-во за период</t>
        </is>
      </c>
      <c r="E73" s="33" t="inlineStr">
        <is>
          <t>Цена без НДС, тг</t>
        </is>
      </c>
      <c r="F73" s="33" t="inlineStr">
        <is>
          <t>Цена с НДС, тг</t>
        </is>
      </c>
      <c r="G73" s="33" t="inlineStr">
        <is>
          <t>Период, мес.</t>
        </is>
      </c>
      <c r="H73" s="33" t="inlineStr">
        <is>
          <t>В месяц без НДС, тг</t>
        </is>
      </c>
      <c r="I73" s="33" t="inlineStr">
        <is>
          <t>Примечание</t>
        </is>
      </c>
    </row>
    <row r="74" ht="15" customHeight="1" s="25">
      <c r="A74" s="34" t="n">
        <v>1</v>
      </c>
      <c r="B74" s="34" t="inlineStr">
        <is>
          <t>Форма ОПУ (комплект)</t>
        </is>
      </c>
      <c r="C74" s="34" t="inlineStr">
        <is>
          <t>шт</t>
        </is>
      </c>
      <c r="D74" s="36" t="n">
        <v>16</v>
      </c>
      <c r="E74" s="37">
        <f>F74/1.16</f>
        <v/>
      </c>
      <c r="F74" s="36" t="n">
        <v>17500</v>
      </c>
      <c r="G74" s="35" t="n">
        <v>12</v>
      </c>
      <c r="H74" s="37">
        <f>D74*E74/G74</f>
        <v/>
      </c>
      <c r="I74" s="34" t="n"/>
    </row>
    <row r="75" ht="15" customHeight="1" s="25">
      <c r="A75" s="34" t="n">
        <v>2</v>
      </c>
      <c r="B75" s="34" t="inlineStr">
        <is>
          <t>Обувь рабочая</t>
        </is>
      </c>
      <c r="C75" s="34" t="inlineStr">
        <is>
          <t>пара</t>
        </is>
      </c>
      <c r="D75" s="36" t="n">
        <v>8</v>
      </c>
      <c r="E75" s="37">
        <f>F75/1.16</f>
        <v/>
      </c>
      <c r="F75" s="36" t="n">
        <v>13500</v>
      </c>
      <c r="G75" s="35" t="n">
        <v>12</v>
      </c>
      <c r="H75" s="37">
        <f>D75*E75/G75</f>
        <v/>
      </c>
      <c r="I75" s="34" t="n"/>
    </row>
    <row r="76" ht="15" customHeight="1" s="25">
      <c r="A76" s="38" t="inlineStr">
        <is>
          <t>ИТОГО</t>
        </is>
      </c>
      <c r="B76" s="39" t="n"/>
      <c r="C76" s="39" t="n"/>
      <c r="D76" s="40" t="n"/>
      <c r="E76" s="40" t="n"/>
      <c r="F76" s="40" t="n"/>
      <c r="G76" s="39" t="n"/>
      <c r="H76" s="41">
        <f>SUM(H74:H75)</f>
        <v/>
      </c>
      <c r="I76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4" min="1" max="1"/>
    <col width="20" customWidth="1" style="24" min="2" max="3"/>
    <col width="14" customWidth="1" style="24" min="4" max="4"/>
    <col width="40" customWidth="1" style="24" min="5" max="5"/>
  </cols>
  <sheetData>
    <row r="1" ht="15" customHeight="1" s="25">
      <c r="A1" s="26" t="inlineStr">
        <is>
          <t>СВОД ПО СМЕТЕ</t>
        </is>
      </c>
    </row>
    <row r="2"/>
    <row r="3" ht="15" customHeight="1" s="25">
      <c r="A3" s="42" t="inlineStr">
        <is>
          <t>Статья</t>
        </is>
      </c>
      <c r="B3" s="42" t="inlineStr">
        <is>
          <t>В месяц без НДС, тг</t>
        </is>
      </c>
      <c r="C3" s="42" t="inlineStr">
        <is>
          <t>В год без НДС, тг</t>
        </is>
      </c>
      <c r="D3" s="42" t="inlineStr">
        <is>
          <t>Доля в цене</t>
        </is>
      </c>
      <c r="E3" s="42" t="inlineStr">
        <is>
          <t>Как считается</t>
        </is>
      </c>
    </row>
    <row r="4" ht="15" customHeight="1" s="25">
      <c r="A4" s="34" t="inlineStr">
        <is>
          <t>ФОТ операторов с расходами платформы</t>
        </is>
      </c>
      <c r="B4" s="37">
        <f>Смета!E33</f>
        <v/>
      </c>
      <c r="C4" s="37">
        <f>B4*12</f>
        <v/>
      </c>
      <c r="D4" s="43">
        <f>B4/$B$15</f>
        <v/>
      </c>
      <c r="E4" s="34" t="inlineStr">
        <is>
          <t>Смета, блок ФОТ</t>
        </is>
      </c>
    </row>
    <row r="5" ht="15" customHeight="1" s="25">
      <c r="A5" s="34" t="inlineStr">
        <is>
          <t>Моющие средства и расходные материалы</t>
        </is>
      </c>
      <c r="B5" s="37">
        <f>Смета!H48</f>
        <v/>
      </c>
      <c r="C5" s="37">
        <f>B5*12</f>
        <v/>
      </c>
      <c r="D5" s="43">
        <f>B5/$B$15</f>
        <v/>
      </c>
      <c r="E5" s="34" t="inlineStr">
        <is>
          <t>Смета</t>
        </is>
      </c>
    </row>
    <row r="6" ht="15" customHeight="1" s="25">
      <c r="A6" s="34" t="inlineStr">
        <is>
          <t>Расходные материалы гигиены</t>
        </is>
      </c>
      <c r="B6" s="37">
        <f>Смета!H55</f>
        <v/>
      </c>
      <c r="C6" s="37">
        <f>B6*12</f>
        <v/>
      </c>
      <c r="D6" s="43">
        <f>B6/$B$15</f>
        <v/>
      </c>
      <c r="E6" s="34" t="inlineStr">
        <is>
          <t>Смета</t>
        </is>
      </c>
    </row>
    <row r="7" ht="15" customHeight="1" s="25">
      <c r="A7" s="34" t="inlineStr">
        <is>
          <t>Инвентарь</t>
        </is>
      </c>
      <c r="B7" s="37">
        <f>Смета!H64</f>
        <v/>
      </c>
      <c r="C7" s="37">
        <f>B7*12</f>
        <v/>
      </c>
      <c r="D7" s="43">
        <f>B7/$B$15</f>
        <v/>
      </c>
      <c r="E7" s="34" t="inlineStr">
        <is>
          <t>Смета, на срок службы</t>
        </is>
      </c>
    </row>
    <row r="8" ht="15" customHeight="1" s="25">
      <c r="A8" s="34" t="inlineStr">
        <is>
          <t>Оборудование</t>
        </is>
      </c>
      <c r="B8" s="37">
        <f>Смета!H70</f>
        <v/>
      </c>
      <c r="C8" s="37">
        <f>B8*12</f>
        <v/>
      </c>
      <c r="D8" s="43">
        <f>B8/$B$15</f>
        <v/>
      </c>
      <c r="E8" s="34" t="inlineStr">
        <is>
          <t>Смета, амортизация</t>
        </is>
      </c>
    </row>
    <row r="9" ht="15" customHeight="1" s="25">
      <c r="A9" s="34" t="inlineStr">
        <is>
          <t>Спецодежда</t>
        </is>
      </c>
      <c r="B9" s="37">
        <f>Смета!H76</f>
        <v/>
      </c>
      <c r="C9" s="37">
        <f>B9*12</f>
        <v/>
      </c>
      <c r="D9" s="43">
        <f>B9/$B$15</f>
        <v/>
      </c>
      <c r="E9" s="34" t="inlineStr">
        <is>
          <t>Смета</t>
        </is>
      </c>
    </row>
    <row r="10" ht="15" customHeight="1" s="25">
      <c r="A10" s="38" t="inlineStr">
        <is>
          <t>СЕБЕСТОИМОСТЬ</t>
        </is>
      </c>
      <c r="B10" s="41">
        <f>SUM(B4:B9)</f>
        <v/>
      </c>
      <c r="C10" s="41">
        <f>B10*12</f>
        <v/>
      </c>
      <c r="D10" s="44">
        <f>B10/$B$15</f>
        <v/>
      </c>
      <c r="E10" s="38" t="inlineStr">
        <is>
          <t>Сумма статей</t>
        </is>
      </c>
    </row>
    <row r="11" ht="15" customHeight="1" s="25">
      <c r="A11" s="34" t="inlineStr">
        <is>
          <t>Вознаграждение субподрядчика</t>
        </is>
      </c>
      <c r="B11" s="37">
        <f>B10*0.101/0.9</f>
        <v/>
      </c>
      <c r="C11" s="37">
        <f>B11*12</f>
        <v/>
      </c>
      <c r="D11" s="43">
        <f>B11/$B$15</f>
        <v/>
      </c>
      <c r="E11" s="34" t="inlineStr">
        <is>
          <t>Себестоимость × 0,101 / 0,9 (≈10% бюджета субподрядчика)</t>
        </is>
      </c>
    </row>
    <row r="12" ht="15" customHeight="1" s="25">
      <c r="A12" s="34" t="inlineStr">
        <is>
          <t>Административные расходы субподрядчика</t>
        </is>
      </c>
      <c r="B12" s="37">
        <f>(B10+B11)*0.01/0.99</f>
        <v/>
      </c>
      <c r="C12" s="37">
        <f>B12*12</f>
        <v/>
      </c>
      <c r="D12" s="43">
        <f>B12/$B$15</f>
        <v/>
      </c>
      <c r="E12" s="34" t="inlineStr">
        <is>
          <t>(Себестоимость + вознаграждение) × 0,01 / 0,99</t>
        </is>
      </c>
    </row>
    <row r="13" ht="15" customHeight="1" s="25">
      <c r="A13" s="38" t="inlineStr">
        <is>
          <t>БЮДЖЕТ СУБПОДРЯДЧИКА</t>
        </is>
      </c>
      <c r="B13" s="41">
        <f>B10+B11+B12</f>
        <v/>
      </c>
      <c r="C13" s="41">
        <f>B13*12</f>
        <v/>
      </c>
      <c r="D13" s="44">
        <f>B13/$B$15</f>
        <v/>
      </c>
      <c r="E13" s="38" t="inlineStr">
        <is>
          <t>Столько IC Line платит субподрядчику в месяц</t>
        </is>
      </c>
    </row>
    <row r="14" ht="15" customHeight="1" s="25">
      <c r="A14" s="34" t="inlineStr">
        <is>
          <t>Маржа IC Line</t>
        </is>
      </c>
      <c r="B14" s="37">
        <f>B13*15/85</f>
        <v/>
      </c>
      <c r="C14" s="37">
        <f>B14*12</f>
        <v/>
      </c>
      <c r="D14" s="43">
        <f>B14/$B$15</f>
        <v/>
      </c>
      <c r="E14" s="34" t="inlineStr">
        <is>
          <t>Бюджет субподрядчика × 15/85 (= 15% цены без НДС)</t>
        </is>
      </c>
    </row>
    <row r="15" ht="15" customHeight="1" s="25">
      <c r="A15" s="38" t="inlineStr">
        <is>
          <t>ЦЕНА КЛИЕНТУ БЕЗ НДС</t>
        </is>
      </c>
      <c r="B15" s="41">
        <f>B13+B14</f>
        <v/>
      </c>
      <c r="C15" s="41">
        <f>B15*12</f>
        <v/>
      </c>
      <c r="D15" s="44">
        <f>B15/$B$15</f>
        <v/>
      </c>
      <c r="E15" s="38" t="n"/>
    </row>
    <row r="16" ht="15" customHeight="1" s="25">
      <c r="A16" s="34" t="inlineStr">
        <is>
          <t>НДС 16%</t>
        </is>
      </c>
      <c r="B16" s="37">
        <f>B15*0.16</f>
        <v/>
      </c>
      <c r="C16" s="37">
        <f>B16*12</f>
        <v/>
      </c>
      <c r="D16" s="43" t="n"/>
      <c r="E16" s="34" t="n"/>
    </row>
    <row r="17" ht="15" customHeight="1" s="25">
      <c r="A17" s="38" t="inlineStr">
        <is>
          <t>ЦЕНА КЛИЕНТУ С НДС</t>
        </is>
      </c>
      <c r="B17" s="41">
        <f>B15+B16</f>
        <v/>
      </c>
      <c r="C17" s="41">
        <f>B17*12</f>
        <v/>
      </c>
      <c r="D17" s="44" t="n"/>
      <c r="E17" s="38" t="n"/>
    </row>
    <row r="18" ht="15" customHeight="1" s="25">
      <c r="A18" s="34" t="n"/>
      <c r="B18" s="37" t="n"/>
      <c r="C18" s="37" t="n"/>
      <c r="D18" s="43" t="n"/>
      <c r="E18" s="34" t="n"/>
    </row>
    <row r="19" ht="15" customHeight="1" s="25">
      <c r="A19" s="34" t="inlineStr">
        <is>
          <t>Бюджет клиента в месяц с НДС</t>
        </is>
      </c>
      <c r="B19" s="37">
        <f>Смета!C22</f>
        <v/>
      </c>
      <c r="C19" s="37" t="n"/>
      <c r="D19" s="43" t="n"/>
      <c r="E19" s="34" t="n"/>
    </row>
    <row r="20" ht="15" customHeight="1" s="25">
      <c r="A20" s="34" t="inlineStr">
        <is>
          <t>Запас (+) / превышение (−) бюджета</t>
        </is>
      </c>
      <c r="B20" s="37">
        <f>B19-B17</f>
        <v/>
      </c>
      <c r="C20" s="37" t="n"/>
      <c r="D20" s="43" t="n"/>
      <c r="E20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4" min="1" max="1"/>
    <col width="13" customWidth="1" style="24" min="2" max="13"/>
    <col width="15" customWidth="1" style="24" min="14" max="14"/>
  </cols>
  <sheetData>
    <row r="1" ht="15" customHeight="1" s="25">
      <c r="A1" s="26" t="inlineStr">
        <is>
          <t>БЮДЖЕТ ДОХОДОВ И РАСХОДОВ ПО ОБЪЕКТУ (12 месяцев)</t>
        </is>
      </c>
    </row>
    <row r="2" ht="15" customHeight="1" s="25">
      <c r="A2" s="27" t="inlineStr">
        <is>
          <t>Клиент: ТОО «Орда Трейдинг». Все суммы — тенге без НДС, кроме строки поступлений.</t>
        </is>
      </c>
    </row>
    <row r="3"/>
    <row r="4" ht="15" customHeight="1" s="25">
      <c r="A4" s="45" t="inlineStr">
        <is>
          <t>Статья</t>
        </is>
      </c>
      <c r="B4" s="45" t="inlineStr">
        <is>
          <t>окт.26</t>
        </is>
      </c>
      <c r="C4" s="45" t="inlineStr">
        <is>
          <t>ноя.26</t>
        </is>
      </c>
      <c r="D4" s="45" t="inlineStr">
        <is>
          <t>дек.26</t>
        </is>
      </c>
      <c r="E4" s="45" t="inlineStr">
        <is>
          <t>янв.27</t>
        </is>
      </c>
      <c r="F4" s="45" t="inlineStr">
        <is>
          <t>фев.27</t>
        </is>
      </c>
      <c r="G4" s="45" t="inlineStr">
        <is>
          <t>мар.27</t>
        </is>
      </c>
      <c r="H4" s="45" t="inlineStr">
        <is>
          <t>апр.27</t>
        </is>
      </c>
      <c r="I4" s="45" t="inlineStr">
        <is>
          <t>май.27</t>
        </is>
      </c>
      <c r="J4" s="45" t="inlineStr">
        <is>
          <t>июн.27</t>
        </is>
      </c>
      <c r="K4" s="45" t="inlineStr">
        <is>
          <t>июл.27</t>
        </is>
      </c>
      <c r="L4" s="45" t="inlineStr">
        <is>
          <t>авг.27</t>
        </is>
      </c>
      <c r="M4" s="45" t="inlineStr">
        <is>
          <t>сен.27</t>
        </is>
      </c>
      <c r="N4" s="45" t="inlineStr">
        <is>
          <t>Итого за год</t>
        </is>
      </c>
    </row>
    <row r="5" ht="15" customHeight="1" s="25">
      <c r="A5" s="34" t="inlineStr">
        <is>
          <t>Поступления от клиента (с НДС)</t>
        </is>
      </c>
      <c r="B5" s="37">
        <f>'Свод по смете'!$B$17</f>
        <v/>
      </c>
      <c r="C5" s="37">
        <f>'Свод по смете'!$B$17</f>
        <v/>
      </c>
      <c r="D5" s="37">
        <f>'Свод по смете'!$B$17</f>
        <v/>
      </c>
      <c r="E5" s="37">
        <f>'Свод по смете'!$B$17</f>
        <v/>
      </c>
      <c r="F5" s="37">
        <f>'Свод по смете'!$B$17</f>
        <v/>
      </c>
      <c r="G5" s="37">
        <f>'Свод по смете'!$B$17</f>
        <v/>
      </c>
      <c r="H5" s="37">
        <f>'Свод по смете'!$B$17</f>
        <v/>
      </c>
      <c r="I5" s="37">
        <f>'Свод по смете'!$B$17</f>
        <v/>
      </c>
      <c r="J5" s="37">
        <f>'Свод по смете'!$B$17</f>
        <v/>
      </c>
      <c r="K5" s="37">
        <f>'Свод по смете'!$B$17</f>
        <v/>
      </c>
      <c r="L5" s="37">
        <f>'Свод по смете'!$B$17</f>
        <v/>
      </c>
      <c r="M5" s="37">
        <f>'Свод по смете'!$B$17</f>
        <v/>
      </c>
      <c r="N5" s="46">
        <f>SUM(B5:M5)</f>
        <v/>
      </c>
    </row>
    <row r="6" ht="15" customHeight="1" s="25">
      <c r="A6" s="34" t="inlineStr">
        <is>
          <t>Выручка без НДС</t>
        </is>
      </c>
      <c r="B6" s="37">
        <f>'Свод по смете'!$B$15</f>
        <v/>
      </c>
      <c r="C6" s="37">
        <f>'Свод по смете'!$B$15</f>
        <v/>
      </c>
      <c r="D6" s="37">
        <f>'Свод по смете'!$B$15</f>
        <v/>
      </c>
      <c r="E6" s="37">
        <f>'Свод по смете'!$B$15</f>
        <v/>
      </c>
      <c r="F6" s="37">
        <f>'Свод по смете'!$B$15</f>
        <v/>
      </c>
      <c r="G6" s="37">
        <f>'Свод по смете'!$B$15</f>
        <v/>
      </c>
      <c r="H6" s="37">
        <f>'Свод по смете'!$B$15</f>
        <v/>
      </c>
      <c r="I6" s="37">
        <f>'Свод по смете'!$B$15</f>
        <v/>
      </c>
      <c r="J6" s="37">
        <f>'Свод по смете'!$B$15</f>
        <v/>
      </c>
      <c r="K6" s="37">
        <f>'Свод по смете'!$B$15</f>
        <v/>
      </c>
      <c r="L6" s="37">
        <f>'Свод по смете'!$B$15</f>
        <v/>
      </c>
      <c r="M6" s="37">
        <f>'Свод по смете'!$B$15</f>
        <v/>
      </c>
      <c r="N6" s="46">
        <f>SUM(B6:M6)</f>
        <v/>
      </c>
    </row>
    <row r="7" ht="15" customHeight="1" s="25">
      <c r="A7" s="34" t="inlineStr">
        <is>
          <t>ФОТ операторов с расходами платформы</t>
        </is>
      </c>
      <c r="B7" s="37">
        <f>-'Свод по смете'!$B$4</f>
        <v/>
      </c>
      <c r="C7" s="37">
        <f>-'Свод по смете'!$B$4</f>
        <v/>
      </c>
      <c r="D7" s="37">
        <f>-'Свод по смете'!$B$4</f>
        <v/>
      </c>
      <c r="E7" s="37">
        <f>-'Свод по смете'!$B$4</f>
        <v/>
      </c>
      <c r="F7" s="37">
        <f>-'Свод по смете'!$B$4</f>
        <v/>
      </c>
      <c r="G7" s="37">
        <f>-'Свод по смете'!$B$4</f>
        <v/>
      </c>
      <c r="H7" s="37">
        <f>-'Свод по смете'!$B$4</f>
        <v/>
      </c>
      <c r="I7" s="37">
        <f>-'Свод по смете'!$B$4</f>
        <v/>
      </c>
      <c r="J7" s="37">
        <f>-'Свод по смете'!$B$4</f>
        <v/>
      </c>
      <c r="K7" s="37">
        <f>-'Свод по смете'!$B$4</f>
        <v/>
      </c>
      <c r="L7" s="37">
        <f>-'Свод по смете'!$B$4</f>
        <v/>
      </c>
      <c r="M7" s="37">
        <f>-'Свод по смете'!$B$4</f>
        <v/>
      </c>
      <c r="N7" s="46">
        <f>SUM(B7:M7)</f>
        <v/>
      </c>
    </row>
    <row r="8" ht="15" customHeight="1" s="25">
      <c r="A8" s="34" t="inlineStr">
        <is>
          <t>Материалы, гигиена, инвентарь, спецодежда</t>
        </is>
      </c>
      <c r="B8" s="37">
        <f>-('Свод по смете'!$B$5+'Свод по смете'!$B$6+'Свод по смете'!$B$7+'Свод по смете'!$B$9)</f>
        <v/>
      </c>
      <c r="C8" s="37">
        <f>-('Свод по смете'!$B$5+'Свод по смете'!$B$6+'Свод по смете'!$B$7+'Свод по смете'!$B$9)</f>
        <v/>
      </c>
      <c r="D8" s="37">
        <f>-('Свод по смете'!$B$5+'Свод по смете'!$B$6+'Свод по смете'!$B$7+'Свод по смете'!$B$9)</f>
        <v/>
      </c>
      <c r="E8" s="37">
        <f>-('Свод по смете'!$B$5+'Свод по смете'!$B$6+'Свод по смете'!$B$7+'Свод по смете'!$B$9)</f>
        <v/>
      </c>
      <c r="F8" s="37">
        <f>-('Свод по смете'!$B$5+'Свод по смете'!$B$6+'Свод по смете'!$B$7+'Свод по смете'!$B$9)</f>
        <v/>
      </c>
      <c r="G8" s="37">
        <f>-('Свод по смете'!$B$5+'Свод по смете'!$B$6+'Свод по смете'!$B$7+'Свод по смете'!$B$9)</f>
        <v/>
      </c>
      <c r="H8" s="37">
        <f>-('Свод по смете'!$B$5+'Свод по смете'!$B$6+'Свод по смете'!$B$7+'Свод по смете'!$B$9)</f>
        <v/>
      </c>
      <c r="I8" s="37">
        <f>-('Свод по смете'!$B$5+'Свод по смете'!$B$6+'Свод по смете'!$B$7+'Свод по смете'!$B$9)</f>
        <v/>
      </c>
      <c r="J8" s="37">
        <f>-('Свод по смете'!$B$5+'Свод по смете'!$B$6+'Свод по смете'!$B$7+'Свод по смете'!$B$9)</f>
        <v/>
      </c>
      <c r="K8" s="37">
        <f>-('Свод по смете'!$B$5+'Свод по смете'!$B$6+'Свод по смете'!$B$7+'Свод по смете'!$B$9)</f>
        <v/>
      </c>
      <c r="L8" s="37">
        <f>-('Свод по смете'!$B$5+'Свод по смете'!$B$6+'Свод по смете'!$B$7+'Свод по смете'!$B$9)</f>
        <v/>
      </c>
      <c r="M8" s="37">
        <f>-('Свод по смете'!$B$5+'Свод по смете'!$B$6+'Свод по смете'!$B$7+'Свод по смете'!$B$9)</f>
        <v/>
      </c>
      <c r="N8" s="46">
        <f>SUM(B8:M8)</f>
        <v/>
      </c>
    </row>
    <row r="9" ht="15" customHeight="1" s="25">
      <c r="A9" s="34" t="inlineStr">
        <is>
          <t>Амортизация оборудования</t>
        </is>
      </c>
      <c r="B9" s="37">
        <f>-'Свод по смете'!$B$8</f>
        <v/>
      </c>
      <c r="C9" s="37">
        <f>-'Свод по смете'!$B$8</f>
        <v/>
      </c>
      <c r="D9" s="37">
        <f>-'Свод по смете'!$B$8</f>
        <v/>
      </c>
      <c r="E9" s="37">
        <f>-'Свод по смете'!$B$8</f>
        <v/>
      </c>
      <c r="F9" s="37">
        <f>-'Свод по смете'!$B$8</f>
        <v/>
      </c>
      <c r="G9" s="37">
        <f>-'Свод по смете'!$B$8</f>
        <v/>
      </c>
      <c r="H9" s="37">
        <f>-'Свод по смете'!$B$8</f>
        <v/>
      </c>
      <c r="I9" s="37">
        <f>-'Свод по смете'!$B$8</f>
        <v/>
      </c>
      <c r="J9" s="37">
        <f>-'Свод по смете'!$B$8</f>
        <v/>
      </c>
      <c r="K9" s="37">
        <f>-'Свод по смете'!$B$8</f>
        <v/>
      </c>
      <c r="L9" s="37">
        <f>-'Свод по смете'!$B$8</f>
        <v/>
      </c>
      <c r="M9" s="37">
        <f>-'Свод по смете'!$B$8</f>
        <v/>
      </c>
      <c r="N9" s="46">
        <f>SUM(B9:M9)</f>
        <v/>
      </c>
    </row>
    <row r="10" ht="15" customHeight="1" s="25">
      <c r="A10" s="34" t="inlineStr">
        <is>
          <t>Вознаграждение и администрирование субподрядчика</t>
        </is>
      </c>
      <c r="B10" s="37">
        <f>-('Свод по смете'!$B$11+'Свод по смете'!$B$12)</f>
        <v/>
      </c>
      <c r="C10" s="37">
        <f>-('Свод по смете'!$B$11+'Свод по смете'!$B$12)</f>
        <v/>
      </c>
      <c r="D10" s="37">
        <f>-('Свод по смете'!$B$11+'Свод по смете'!$B$12)</f>
        <v/>
      </c>
      <c r="E10" s="37">
        <f>-('Свод по смете'!$B$11+'Свод по смете'!$B$12)</f>
        <v/>
      </c>
      <c r="F10" s="37">
        <f>-('Свод по смете'!$B$11+'Свод по смете'!$B$12)</f>
        <v/>
      </c>
      <c r="G10" s="37">
        <f>-('Свод по смете'!$B$11+'Свод по смете'!$B$12)</f>
        <v/>
      </c>
      <c r="H10" s="37">
        <f>-('Свод по смете'!$B$11+'Свод по смете'!$B$12)</f>
        <v/>
      </c>
      <c r="I10" s="37">
        <f>-('Свод по смете'!$B$11+'Свод по смете'!$B$12)</f>
        <v/>
      </c>
      <c r="J10" s="37">
        <f>-('Свод по смете'!$B$11+'Свод по смете'!$B$12)</f>
        <v/>
      </c>
      <c r="K10" s="37">
        <f>-('Свод по смете'!$B$11+'Свод по смете'!$B$12)</f>
        <v/>
      </c>
      <c r="L10" s="37">
        <f>-('Свод по смете'!$B$11+'Свод по смете'!$B$12)</f>
        <v/>
      </c>
      <c r="M10" s="37">
        <f>-('Свод по смете'!$B$11+'Свод по смете'!$B$12)</f>
        <v/>
      </c>
      <c r="N10" s="46">
        <f>SUM(B10:M10)</f>
        <v/>
      </c>
    </row>
    <row r="11" ht="15" customHeight="1" s="25">
      <c r="A11" s="38" t="inlineStr">
        <is>
          <t>Маржа IC Line</t>
        </is>
      </c>
      <c r="B11" s="41">
        <f>B6+B7+B8+B9+B10</f>
        <v/>
      </c>
      <c r="C11" s="41">
        <f>C6+C7+C8+C9+C10</f>
        <v/>
      </c>
      <c r="D11" s="41">
        <f>D6+D7+D8+D9+D10</f>
        <v/>
      </c>
      <c r="E11" s="41">
        <f>E6+E7+E8+E9+E10</f>
        <v/>
      </c>
      <c r="F11" s="41">
        <f>F6+F7+F8+F9+F10</f>
        <v/>
      </c>
      <c r="G11" s="41">
        <f>G6+G7+G8+G9+G10</f>
        <v/>
      </c>
      <c r="H11" s="41">
        <f>H6+H7+H8+H9+H10</f>
        <v/>
      </c>
      <c r="I11" s="41">
        <f>I6+I7+I8+I9+I10</f>
        <v/>
      </c>
      <c r="J11" s="41">
        <f>J6+J7+J8+J9+J10</f>
        <v/>
      </c>
      <c r="K11" s="41">
        <f>K6+K7+K8+K9+K10</f>
        <v/>
      </c>
      <c r="L11" s="41">
        <f>L6+L7+L8+L9+L10</f>
        <v/>
      </c>
      <c r="M11" s="41">
        <f>M6+M7+M8+M9+M10</f>
        <v/>
      </c>
      <c r="N11" s="47">
        <f>SUM(B11:M11)</f>
        <v/>
      </c>
    </row>
    <row r="12" ht="15" customHeight="1" s="25">
      <c r="A12" s="34" t="inlineStr">
        <is>
          <t>Маржа IC Line, % от выручки</t>
        </is>
      </c>
      <c r="B12" s="43">
        <f>IFERROR(B11/B6,0)</f>
        <v/>
      </c>
      <c r="C12" s="43">
        <f>IFERROR(C11/C6,0)</f>
        <v/>
      </c>
      <c r="D12" s="43">
        <f>IFERROR(D11/D6,0)</f>
        <v/>
      </c>
      <c r="E12" s="43">
        <f>IFERROR(E11/E6,0)</f>
        <v/>
      </c>
      <c r="F12" s="43">
        <f>IFERROR(F11/F6,0)</f>
        <v/>
      </c>
      <c r="G12" s="43">
        <f>IFERROR(G11/G6,0)</f>
        <v/>
      </c>
      <c r="H12" s="43">
        <f>IFERROR(H11/H6,0)</f>
        <v/>
      </c>
      <c r="I12" s="43">
        <f>IFERROR(I11/I6,0)</f>
        <v/>
      </c>
      <c r="J12" s="43">
        <f>IFERROR(J11/J6,0)</f>
        <v/>
      </c>
      <c r="K12" s="43">
        <f>IFERROR(K11/K6,0)</f>
        <v/>
      </c>
      <c r="L12" s="43">
        <f>IFERROR(L11/L6,0)</f>
        <v/>
      </c>
      <c r="M12" s="43">
        <f>IFERROR(M11/M6,0)</f>
        <v/>
      </c>
      <c r="N12" s="48">
        <f>IFERROR(N11/N6,0)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2026-10-13T16:12:04Z</dcterms:created>
  <dcterms:modified xmlns:dcterms="http://purl.org/dc/terms/" xmlns:xsi="http://www.w3.org/2001/XMLSchema-instance" xsi:type="dcterms:W3CDTF">2026-10-15T10:45:21Z</dcterms:modified>
  <cp:revision>0</cp:revision>
</cp:coreProperties>
</file>